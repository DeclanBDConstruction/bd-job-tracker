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clanBullough\Downloads\Job Trackers\"/>
    </mc:Choice>
  </mc:AlternateContent>
  <xr:revisionPtr revIDLastSave="0" documentId="8_{E77CF105-123B-44E7-929D-FDE4336C35ED}" xr6:coauthVersionLast="47" xr6:coauthVersionMax="47" xr10:uidLastSave="{00000000-0000-0000-0000-000000000000}"/>
  <workbookProtection workbookAlgorithmName="SHA-512" workbookHashValue="zasPg4d7Yxk7HZPwKqlLa3AMEWQvnKLx/BVg8jg9UAB9A1S0AteR7D5HLtq9bHaQcd35ptBzaUq/CXiQVaVzVQ==" workbookSaltValue="66Z6NvAxhSg2BWcgrYDK6w==" workbookSpinCount="100000" lockStructure="1"/>
  <bookViews>
    <workbookView xWindow="-38520" yWindow="-5595" windowWidth="38640" windowHeight="21120" xr2:uid="{A0742329-9471-4E62-A5C8-948A376F063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9" i="1" l="1" a="1"/>
  <c r="M20" i="1" a="1"/>
  <c r="M21" i="1" a="1"/>
  <c r="M22" i="1" a="1"/>
  <c r="M23" i="1" a="1"/>
  <c r="M24" i="1" a="1"/>
  <c r="M25" i="1" a="1"/>
  <c r="M26" i="1" a="1"/>
  <c r="M27" i="1" a="1"/>
  <c r="M28" i="1" a="1"/>
  <c r="M29" i="1" a="1"/>
  <c r="M30" i="1" a="1"/>
  <c r="M31" i="1" a="1"/>
  <c r="M32" i="1" a="1"/>
  <c r="M33" i="1" a="1"/>
  <c r="M34" i="1" a="1"/>
  <c r="M35" i="1" a="1"/>
  <c r="M36" i="1" a="1"/>
  <c r="M37" i="1" a="1"/>
  <c r="M38" i="1" a="1"/>
  <c r="M18" i="1" a="1"/>
  <c r="K42" i="1"/>
  <c r="K43" i="1"/>
  <c r="K79" i="1" l="1"/>
  <c r="M56" i="1"/>
  <c r="N56" i="1" s="1"/>
  <c r="M57" i="1"/>
  <c r="N57" i="1" s="1"/>
  <c r="M58" i="1"/>
  <c r="N58" i="1" s="1"/>
  <c r="M59" i="1"/>
  <c r="N59" i="1" s="1"/>
  <c r="M60" i="1"/>
  <c r="N60" i="1" s="1"/>
  <c r="M61" i="1"/>
  <c r="N61" i="1" s="1"/>
  <c r="M62" i="1"/>
  <c r="N62" i="1" s="1"/>
  <c r="M63" i="1"/>
  <c r="N63" i="1" s="1"/>
  <c r="M64" i="1"/>
  <c r="N64" i="1" s="1"/>
  <c r="M65" i="1"/>
  <c r="N65" i="1" s="1"/>
  <c r="M66" i="1"/>
  <c r="N66" i="1" s="1"/>
  <c r="M67" i="1"/>
  <c r="N67" i="1" s="1"/>
  <c r="M68" i="1"/>
  <c r="N68" i="1" s="1"/>
  <c r="M69" i="1"/>
  <c r="N69" i="1" s="1"/>
  <c r="M70" i="1"/>
  <c r="N70" i="1" s="1"/>
  <c r="M71" i="1"/>
  <c r="N71" i="1" s="1"/>
  <c r="M72" i="1"/>
  <c r="N72" i="1" s="1"/>
  <c r="M73" i="1"/>
  <c r="N73" i="1" s="1"/>
  <c r="M74" i="1"/>
  <c r="N74" i="1" s="1"/>
  <c r="M75" i="1"/>
  <c r="N75" i="1" s="1"/>
  <c r="M76" i="1"/>
  <c r="N76" i="1" s="1"/>
  <c r="M77" i="1"/>
  <c r="N77" i="1" s="1"/>
  <c r="M78" i="1"/>
  <c r="N78" i="1" s="1"/>
  <c r="M55" i="1"/>
  <c r="N55" i="1" s="1"/>
  <c r="M43" i="1"/>
  <c r="N43" i="1" s="1"/>
  <c r="K44" i="1"/>
  <c r="M44" i="1" s="1"/>
  <c r="K45" i="1"/>
  <c r="M45" i="1" s="1"/>
  <c r="N45" i="1" s="1"/>
  <c r="K46" i="1"/>
  <c r="M46" i="1" s="1"/>
  <c r="N46" i="1" s="1"/>
  <c r="K47" i="1"/>
  <c r="K48" i="1"/>
  <c r="K49" i="1"/>
  <c r="K50" i="1"/>
  <c r="M50" i="1" s="1"/>
  <c r="N50" i="1" s="1"/>
  <c r="K51" i="1"/>
  <c r="M51" i="1" s="1"/>
  <c r="N51" i="1" s="1"/>
  <c r="M49" i="1"/>
  <c r="N49" i="1" s="1"/>
  <c r="M42" i="1"/>
  <c r="M47" i="1"/>
  <c r="N47" i="1" s="1"/>
  <c r="M48" i="1"/>
  <c r="N48" i="1" s="1"/>
  <c r="N42" i="1" l="1"/>
  <c r="M52" i="1"/>
  <c r="N79" i="1"/>
  <c r="M79" i="1"/>
  <c r="K52" i="1"/>
  <c r="N44" i="1"/>
  <c r="M39" i="1"/>
  <c r="N52" i="1" l="1"/>
  <c r="I10" i="1" s="1"/>
  <c r="M82" i="1"/>
  <c r="K12" i="1" l="1"/>
  <c r="K10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<sst xmlns="http://schemas.openxmlformats.org/spreadsheetml/2006/main" count="47" uniqueCount="42">
  <si>
    <t>Job No.</t>
  </si>
  <si>
    <t>Job Description Of Works</t>
  </si>
  <si>
    <t>Employee Hours</t>
  </si>
  <si>
    <t>Joe Woodcock</t>
  </si>
  <si>
    <t>Sean Bartolini</t>
  </si>
  <si>
    <t>Craig Devine</t>
  </si>
  <si>
    <t>Alex Bennett</t>
  </si>
  <si>
    <t>Ben Holgate</t>
  </si>
  <si>
    <t>Connor Croston</t>
  </si>
  <si>
    <t>Daniel Slater</t>
  </si>
  <si>
    <t>Mike Swift</t>
  </si>
  <si>
    <t>Paul Bushell</t>
  </si>
  <si>
    <t>Peter Lockett</t>
  </si>
  <si>
    <t>Thomas Draper</t>
  </si>
  <si>
    <t>Thomas Mcdermott</t>
  </si>
  <si>
    <t>Materials</t>
  </si>
  <si>
    <t>Total</t>
  </si>
  <si>
    <t>Spent</t>
  </si>
  <si>
    <t>Profit</t>
  </si>
  <si>
    <t>Quoted Price</t>
  </si>
  <si>
    <t>Unit Price</t>
  </si>
  <si>
    <t>Grand Total</t>
  </si>
  <si>
    <t xml:space="preserve">Sub Contractor </t>
  </si>
  <si>
    <t>Declan Bullough</t>
  </si>
  <si>
    <t>Needham Drainage</t>
  </si>
  <si>
    <t>Markup %</t>
  </si>
  <si>
    <t>Markup £</t>
  </si>
  <si>
    <t>Ryan Nash</t>
  </si>
  <si>
    <t>Aaron</t>
  </si>
  <si>
    <t>Marcus</t>
  </si>
  <si>
    <t>Mark Bowden</t>
  </si>
  <si>
    <t>Ryan Boydell</t>
  </si>
  <si>
    <t>Greene King</t>
  </si>
  <si>
    <t>Chris Hill</t>
  </si>
  <si>
    <t>J5606</t>
  </si>
  <si>
    <t>L073993</t>
  </si>
  <si>
    <t>Beehive</t>
  </si>
  <si>
    <t>Carlisle</t>
  </si>
  <si>
    <t>Order No.</t>
  </si>
  <si>
    <t>Date</t>
  </si>
  <si>
    <t>Clean Kitchen</t>
  </si>
  <si>
    <t>Declan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</si>
</sst>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£&quot;#,##0.00;[Red]\-&quot;£&quot;#,##0.00"/>
    <numFmt numFmtId="44" formatCode="_-&quot;£&quot;* #,##0.00_-;\-&quot;£&quot;* #,##0.00_-;_-&quot;£&quot;* &quot;-&quot;??_-;_-@_-"/>
  </numFmts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2"/>
      <color theme="3" tint="0.249977111117893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b/>
      <sz val="18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9">
    <xf numFmtId="0" fontId="0" fillId="0" borderId="0" xfId="0"/>
    <xf numFmtId="44" fontId="0" fillId="2" borderId="12" xfId="0" applyNumberFormat="1" applyFill="1" applyBorder="1" applyAlignment="1">
      <alignment horizontal="center"/>
    </xf>
    <xf numFmtId="44" fontId="0" fillId="2" borderId="12" xfId="0" applyNumberFormat="1" applyFill="1" applyBorder="1"/>
    <xf numFmtId="44" fontId="0" fillId="5" borderId="1" xfId="0" applyNumberFormat="1" applyFill="1" applyBorder="1" applyAlignment="1">
      <alignment horizontal="center"/>
    </xf>
    <xf numFmtId="44" fontId="0" fillId="2" borderId="1" xfId="0" applyNumberFormat="1" applyFill="1" applyBorder="1"/>
    <xf numFmtId="44" fontId="0" fillId="5" borderId="1" xfId="0" applyNumberFormat="1" applyFill="1" applyBorder="1"/>
    <xf numFmtId="44" fontId="0" fillId="5" borderId="12" xfId="0" applyNumberFormat="1" applyFill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44" fontId="0" fillId="0" borderId="1" xfId="0" applyNumberFormat="1" applyBorder="1"/>
    <xf numFmtId="0" fontId="1" fillId="5" borderId="1" xfId="0" applyFont="1" applyFill="1" applyBorder="1" applyAlignment="1">
      <alignment horizontal="left" vertical="center"/>
    </xf>
    <xf numFmtId="0" fontId="1" fillId="5" borderId="1" xfId="0" applyFont="1" applyFill="1" applyBorder="1" applyAlignment="1">
      <alignment horizontal="center" vertical="center"/>
    </xf>
    <xf numFmtId="44" fontId="1" fillId="5" borderId="1" xfId="0" applyNumberFormat="1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/>
    </xf>
    <xf numFmtId="0" fontId="1" fillId="5" borderId="0" xfId="0" applyFont="1" applyFill="1" applyAlignment="1">
      <alignment vertical="center" wrapText="1"/>
    </xf>
    <xf numFmtId="44" fontId="1" fillId="5" borderId="0" xfId="0" applyNumberFormat="1" applyFont="1" applyFill="1" applyAlignment="1">
      <alignment horizontal="center"/>
    </xf>
    <xf numFmtId="0" fontId="0" fillId="0" borderId="1" xfId="0" applyBorder="1" applyProtection="1">
      <protection locked="0"/>
    </xf>
    <xf numFmtId="44" fontId="0" fillId="5" borderId="1" xfId="0" applyNumberFormat="1" applyFill="1" applyBorder="1" applyProtection="1">
      <protection locked="0"/>
    </xf>
    <xf numFmtId="44" fontId="0" fillId="0" borderId="1" xfId="0" applyNumberFormat="1" applyBorder="1" applyProtection="1">
      <protection locked="0"/>
    </xf>
    <xf numFmtId="44" fontId="0" fillId="4" borderId="1" xfId="0" applyNumberFormat="1" applyFill="1" applyBorder="1" applyProtection="1">
      <protection locked="0"/>
    </xf>
    <xf numFmtId="10" fontId="0" fillId="4" borderId="1" xfId="0" applyNumberFormat="1" applyFill="1" applyBorder="1" applyProtection="1">
      <protection locked="0"/>
    </xf>
    <xf numFmtId="10" fontId="0" fillId="4" borderId="1" xfId="0" applyNumberFormat="1" applyFill="1" applyBorder="1" applyAlignment="1" applyProtection="1">
      <alignment horizontal="center"/>
      <protection locked="0"/>
    </xf>
    <xf numFmtId="10" fontId="0" fillId="5" borderId="1" xfId="0" applyNumberFormat="1" applyFill="1" applyBorder="1" applyAlignment="1" applyProtection="1">
      <alignment horizontal="center"/>
      <protection locked="0"/>
    </xf>
    <xf numFmtId="9" fontId="0" fillId="5" borderId="1" xfId="0" applyNumberFormat="1" applyFill="1" applyBorder="1" applyAlignment="1" applyProtection="1">
      <alignment horizontal="center"/>
      <protection locked="0"/>
    </xf>
    <xf numFmtId="44" fontId="0" fillId="4" borderId="1" xfId="0" applyNumberFormat="1" applyFill="1" applyBorder="1"/>
    <xf numFmtId="0" fontId="1" fillId="5" borderId="6" xfId="0" applyFont="1" applyFill="1" applyBorder="1" applyProtection="1">
      <protection locked="0"/>
    </xf>
    <xf numFmtId="0" fontId="0" fillId="0" borderId="4" xfId="0" applyBorder="1"/>
    <xf numFmtId="0" fontId="1" fillId="5" borderId="7" xfId="0" applyFont="1" applyFill="1" applyBorder="1" applyProtection="1">
      <protection locked="0"/>
    </xf>
    <xf numFmtId="0" fontId="0" fillId="0" borderId="10" xfId="0" applyBorder="1" applyAlignment="1" applyProtection="1">
      <alignment horizontal="left" vertical="center"/>
      <protection locked="0"/>
    </xf>
    <xf numFmtId="0" fontId="0" fillId="0" borderId="11" xfId="0" applyBorder="1" applyAlignment="1" applyProtection="1">
      <alignment horizontal="left" vertical="center"/>
      <protection locked="0"/>
    </xf>
    <xf numFmtId="0" fontId="0" fillId="0" borderId="12" xfId="0" applyBorder="1" applyAlignment="1" applyProtection="1">
      <alignment horizontal="left" vertical="center"/>
      <protection locked="0"/>
    </xf>
    <xf numFmtId="0" fontId="0" fillId="3" borderId="10" xfId="0" applyFill="1" applyBorder="1" applyAlignment="1" applyProtection="1">
      <alignment horizontal="center"/>
      <protection locked="0"/>
    </xf>
    <xf numFmtId="0" fontId="0" fillId="3" borderId="12" xfId="0" applyFill="1" applyBorder="1" applyAlignment="1" applyProtection="1">
      <alignment horizontal="center"/>
      <protection locked="0"/>
    </xf>
    <xf numFmtId="44" fontId="1" fillId="0" borderId="11" xfId="0" applyNumberFormat="1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21" xfId="0" applyFont="1" applyBorder="1" applyAlignment="1">
      <alignment horizontal="center" wrapText="1"/>
    </xf>
    <xf numFmtId="0" fontId="1" fillId="0" borderId="22" xfId="0" applyFont="1" applyBorder="1" applyAlignment="1">
      <alignment horizontal="center" wrapText="1"/>
    </xf>
    <xf numFmtId="0" fontId="1" fillId="5" borderId="10" xfId="0" applyFont="1" applyFill="1" applyBorder="1" applyAlignment="1">
      <alignment horizontal="center" vertical="center"/>
    </xf>
    <xf numFmtId="0" fontId="1" fillId="5" borderId="11" xfId="0" applyFont="1" applyFill="1" applyBorder="1" applyAlignment="1">
      <alignment horizontal="center" vertical="center"/>
    </xf>
    <xf numFmtId="0" fontId="1" fillId="5" borderId="1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9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2" fillId="0" borderId="2" xfId="0" applyFont="1" applyBorder="1" applyAlignment="1" applyProtection="1">
      <alignment horizontal="center" vertical="center"/>
      <protection locked="0"/>
    </xf>
    <xf numFmtId="0" fontId="2" fillId="0" borderId="3" xfId="0" applyFont="1" applyBorder="1" applyAlignment="1" applyProtection="1">
      <alignment horizontal="center" vertical="center"/>
      <protection locked="0"/>
    </xf>
    <xf numFmtId="0" fontId="2" fillId="0" borderId="4" xfId="0" applyFont="1" applyBorder="1" applyAlignment="1" applyProtection="1">
      <alignment horizontal="center" vertical="center"/>
      <protection locked="0"/>
    </xf>
    <xf numFmtId="0" fontId="2" fillId="0" borderId="5" xfId="0" applyFont="1" applyBorder="1" applyAlignment="1" applyProtection="1">
      <alignment horizontal="center" vertical="center"/>
      <protection locked="0"/>
    </xf>
    <xf numFmtId="0" fontId="2" fillId="0" borderId="6" xfId="0" applyFont="1" applyBorder="1" applyAlignment="1" applyProtection="1">
      <alignment horizontal="center" vertical="center"/>
      <protection locked="0"/>
    </xf>
    <xf numFmtId="0" fontId="2" fillId="0" borderId="7" xfId="0" applyFont="1" applyBorder="1" applyAlignment="1" applyProtection="1">
      <alignment horizontal="center" vertical="center"/>
      <protection locked="0"/>
    </xf>
    <xf numFmtId="0" fontId="2" fillId="0" borderId="2" xfId="0" applyFont="1" applyBorder="1" applyAlignment="1" applyProtection="1">
      <alignment horizontal="center"/>
      <protection locked="0"/>
    </xf>
    <xf numFmtId="0" fontId="2" fillId="0" borderId="4" xfId="0" applyFont="1" applyBorder="1" applyAlignment="1" applyProtection="1">
      <alignment horizontal="center"/>
      <protection locked="0"/>
    </xf>
    <xf numFmtId="0" fontId="2" fillId="0" borderId="5" xfId="0" applyFont="1" applyBorder="1" applyAlignment="1" applyProtection="1">
      <alignment horizontal="center"/>
      <protection locked="0"/>
    </xf>
    <xf numFmtId="0" fontId="2" fillId="0" borderId="7" xfId="0" applyFont="1" applyBorder="1" applyAlignment="1" applyProtection="1">
      <alignment horizontal="center"/>
      <protection locked="0"/>
    </xf>
    <xf numFmtId="0" fontId="2" fillId="0" borderId="3" xfId="0" applyFont="1" applyBorder="1" applyAlignment="1" applyProtection="1">
      <alignment horizontal="center"/>
      <protection locked="0"/>
    </xf>
    <xf numFmtId="0" fontId="2" fillId="0" borderId="6" xfId="0" applyFont="1" applyBorder="1" applyAlignment="1" applyProtection="1">
      <alignment horizontal="center"/>
      <protection locked="0"/>
    </xf>
    <xf numFmtId="14" fontId="2" fillId="0" borderId="2" xfId="0" applyNumberFormat="1" applyFont="1" applyBorder="1" applyAlignment="1" applyProtection="1">
      <alignment horizontal="center"/>
      <protection locked="0"/>
    </xf>
    <xf numFmtId="0" fontId="4" fillId="2" borderId="10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0" fillId="3" borderId="5" xfId="0" applyFill="1" applyBorder="1" applyAlignment="1" applyProtection="1">
      <alignment horizontal="center"/>
      <protection locked="0"/>
    </xf>
    <xf numFmtId="0" fontId="0" fillId="3" borderId="7" xfId="0" applyFill="1" applyBorder="1" applyAlignment="1" applyProtection="1">
      <alignment horizontal="center"/>
      <protection locked="0"/>
    </xf>
    <xf numFmtId="0" fontId="0" fillId="0" borderId="14" xfId="0" applyBorder="1" applyAlignment="1" applyProtection="1">
      <alignment horizontal="left" vertical="top" wrapText="1"/>
      <protection locked="0"/>
    </xf>
    <xf numFmtId="0" fontId="0" fillId="0" borderId="15" xfId="0" applyBorder="1" applyAlignment="1" applyProtection="1">
      <alignment horizontal="left" vertical="top" wrapText="1"/>
      <protection locked="0"/>
    </xf>
    <xf numFmtId="0" fontId="0" fillId="0" borderId="23" xfId="0" applyBorder="1" applyAlignment="1" applyProtection="1">
      <alignment horizontal="left" vertical="top" wrapText="1"/>
      <protection locked="0"/>
    </xf>
    <xf numFmtId="0" fontId="0" fillId="0" borderId="24" xfId="0" applyBorder="1" applyAlignment="1" applyProtection="1">
      <alignment horizontal="left" vertical="top" wrapText="1"/>
      <protection locked="0"/>
    </xf>
    <xf numFmtId="0" fontId="0" fillId="0" borderId="16" xfId="0" applyBorder="1" applyAlignment="1" applyProtection="1">
      <alignment horizontal="left" vertical="top" wrapText="1"/>
      <protection locked="0"/>
    </xf>
    <xf numFmtId="0" fontId="0" fillId="0" borderId="13" xfId="0" applyBorder="1" applyAlignment="1" applyProtection="1">
      <alignment horizontal="left" vertical="top" wrapText="1"/>
      <protection locked="0"/>
    </xf>
    <xf numFmtId="0" fontId="0" fillId="0" borderId="17" xfId="0" applyBorder="1" applyAlignment="1" applyProtection="1">
      <alignment horizontal="left" vertical="top" wrapText="1"/>
      <protection locked="0"/>
    </xf>
    <xf numFmtId="0" fontId="0" fillId="0" borderId="18" xfId="0" applyBorder="1" applyAlignment="1" applyProtection="1">
      <alignment horizontal="left" vertical="top" wrapText="1"/>
      <protection locked="0"/>
    </xf>
    <xf numFmtId="0" fontId="0" fillId="0" borderId="19" xfId="0" applyBorder="1" applyAlignment="1" applyProtection="1">
      <alignment horizontal="left" vertical="top" wrapText="1"/>
      <protection locked="0"/>
    </xf>
    <xf numFmtId="0" fontId="0" fillId="0" borderId="20" xfId="0" applyBorder="1" applyAlignment="1" applyProtection="1">
      <alignment horizontal="left" vertical="top" wrapText="1"/>
      <protection locked="0"/>
    </xf>
    <xf numFmtId="44" fontId="1" fillId="5" borderId="10" xfId="0" applyNumberFormat="1" applyFont="1" applyFill="1" applyBorder="1" applyAlignment="1">
      <alignment horizontal="center"/>
    </xf>
    <xf numFmtId="44" fontId="1" fillId="5" borderId="12" xfId="0" applyNumberFormat="1" applyFont="1" applyFill="1" applyBorder="1" applyAlignment="1">
      <alignment horizontal="center"/>
    </xf>
    <xf numFmtId="44" fontId="0" fillId="2" borderId="10" xfId="0" applyNumberFormat="1" applyFill="1" applyBorder="1" applyAlignment="1">
      <alignment horizontal="center"/>
    </xf>
    <xf numFmtId="44" fontId="0" fillId="2" borderId="12" xfId="0" applyNumberFormat="1" applyFill="1" applyBorder="1" applyAlignment="1">
      <alignment horizontal="center"/>
    </xf>
    <xf numFmtId="0" fontId="5" fillId="3" borderId="2" xfId="0" applyFont="1" applyFill="1" applyBorder="1" applyAlignment="1" applyProtection="1">
      <alignment horizontal="center" vertical="center"/>
      <protection locked="0"/>
    </xf>
    <xf numFmtId="0" fontId="5" fillId="3" borderId="3" xfId="0" applyFont="1" applyFill="1" applyBorder="1" applyAlignment="1" applyProtection="1">
      <alignment horizontal="center" vertical="center"/>
      <protection locked="0"/>
    </xf>
    <xf numFmtId="0" fontId="5" fillId="3" borderId="4" xfId="0" applyFont="1" applyFill="1" applyBorder="1" applyAlignment="1" applyProtection="1">
      <alignment horizontal="center" vertical="center"/>
      <protection locked="0"/>
    </xf>
    <xf numFmtId="0" fontId="5" fillId="3" borderId="5" xfId="0" applyFont="1" applyFill="1" applyBorder="1" applyAlignment="1" applyProtection="1">
      <alignment horizontal="center" vertical="center"/>
      <protection locked="0"/>
    </xf>
    <xf numFmtId="0" fontId="5" fillId="3" borderId="6" xfId="0" applyFont="1" applyFill="1" applyBorder="1" applyAlignment="1" applyProtection="1">
      <alignment horizontal="center" vertical="center"/>
      <protection locked="0"/>
    </xf>
    <xf numFmtId="0" fontId="5" fillId="3" borderId="7" xfId="0" applyFont="1" applyFill="1" applyBorder="1" applyAlignment="1" applyProtection="1">
      <alignment horizontal="center" vertical="center"/>
      <protection locked="0"/>
    </xf>
    <xf numFmtId="8" fontId="3" fillId="2" borderId="2" xfId="0" applyNumberFormat="1" applyFont="1" applyFill="1" applyBorder="1" applyAlignment="1" applyProtection="1">
      <alignment horizontal="center" vertical="center"/>
      <protection locked="0"/>
    </xf>
    <xf numFmtId="44" fontId="3" fillId="2" borderId="4" xfId="0" applyNumberFormat="1" applyFont="1" applyFill="1" applyBorder="1" applyAlignment="1" applyProtection="1">
      <alignment horizontal="center" vertical="center"/>
      <protection locked="0"/>
    </xf>
    <xf numFmtId="44" fontId="3" fillId="2" borderId="5" xfId="0" applyNumberFormat="1" applyFont="1" applyFill="1" applyBorder="1" applyAlignment="1" applyProtection="1">
      <alignment horizontal="center" vertical="center"/>
      <protection locked="0"/>
    </xf>
    <xf numFmtId="44" fontId="3" fillId="2" borderId="7" xfId="0" applyNumberFormat="1" applyFont="1" applyFill="1" applyBorder="1" applyAlignment="1" applyProtection="1">
      <alignment horizontal="center" vertical="center"/>
      <protection locked="0"/>
    </xf>
    <xf numFmtId="0" fontId="3" fillId="4" borderId="2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center" vertical="center"/>
    </xf>
    <xf numFmtId="0" fontId="3" fillId="2" borderId="2" xfId="0" applyFont="1" applyFill="1" applyBorder="1" applyAlignment="1" applyProtection="1">
      <alignment horizontal="center"/>
      <protection locked="0"/>
    </xf>
    <xf numFmtId="0" fontId="3" fillId="2" borderId="4" xfId="0" applyFont="1" applyFill="1" applyBorder="1" applyAlignment="1" applyProtection="1">
      <alignment horizontal="center"/>
      <protection locked="0"/>
    </xf>
    <xf numFmtId="0" fontId="3" fillId="2" borderId="5" xfId="0" applyFont="1" applyFill="1" applyBorder="1" applyAlignment="1" applyProtection="1">
      <alignment horizontal="center"/>
      <protection locked="0"/>
    </xf>
    <xf numFmtId="0" fontId="3" fillId="2" borderId="7" xfId="0" applyFont="1" applyFill="1" applyBorder="1" applyAlignment="1" applyProtection="1">
      <alignment horizontal="center"/>
      <protection locked="0"/>
    </xf>
    <xf numFmtId="44" fontId="3" fillId="4" borderId="2" xfId="0" applyNumberFormat="1" applyFont="1" applyFill="1" applyBorder="1" applyAlignment="1">
      <alignment horizontal="center" vertical="center"/>
    </xf>
    <xf numFmtId="44" fontId="3" fillId="4" borderId="4" xfId="0" applyNumberFormat="1" applyFont="1" applyFill="1" applyBorder="1" applyAlignment="1">
      <alignment horizontal="center" vertical="center"/>
    </xf>
    <xf numFmtId="44" fontId="3" fillId="4" borderId="5" xfId="0" applyNumberFormat="1" applyFont="1" applyFill="1" applyBorder="1" applyAlignment="1">
      <alignment horizontal="center" vertical="center"/>
    </xf>
    <xf numFmtId="44" fontId="3" fillId="4" borderId="7" xfId="0" applyNumberFormat="1" applyFont="1" applyFill="1" applyBorder="1" applyAlignment="1">
      <alignment horizontal="center" vertical="center"/>
    </xf>
    <xf numFmtId="44" fontId="3" fillId="3" borderId="2" xfId="0" applyNumberFormat="1" applyFont="1" applyFill="1" applyBorder="1" applyAlignment="1">
      <alignment horizontal="center" vertical="center"/>
    </xf>
    <xf numFmtId="44" fontId="3" fillId="3" borderId="4" xfId="0" applyNumberFormat="1" applyFont="1" applyFill="1" applyBorder="1" applyAlignment="1">
      <alignment horizontal="center" vertical="center"/>
    </xf>
    <xf numFmtId="44" fontId="3" fillId="3" borderId="5" xfId="0" applyNumberFormat="1" applyFont="1" applyFill="1" applyBorder="1" applyAlignment="1">
      <alignment horizontal="center" vertical="center"/>
    </xf>
    <xf numFmtId="44" fontId="3" fillId="3" borderId="7" xfId="0" applyNumberFormat="1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10" fontId="3" fillId="4" borderId="2" xfId="0" applyNumberFormat="1" applyFont="1" applyFill="1" applyBorder="1" applyAlignment="1">
      <alignment horizontal="right" vertical="center"/>
    </xf>
    <xf numFmtId="10" fontId="3" fillId="4" borderId="4" xfId="0" applyNumberFormat="1" applyFont="1" applyFill="1" applyBorder="1" applyAlignment="1">
      <alignment horizontal="right" vertical="center"/>
    </xf>
    <xf numFmtId="10" fontId="3" fillId="4" borderId="5" xfId="0" applyNumberFormat="1" applyFont="1" applyFill="1" applyBorder="1" applyAlignment="1">
      <alignment horizontal="right" vertical="center"/>
    </xf>
    <xf numFmtId="10" fontId="3" fillId="4" borderId="7" xfId="0" applyNumberFormat="1" applyFont="1" applyFill="1" applyBorder="1" applyAlignment="1">
      <alignment horizontal="right" vertical="center"/>
    </xf>
    <xf numFmtId="0" fontId="3" fillId="2" borderId="2" xfId="0" applyFont="1" applyFill="1" applyBorder="1" applyAlignment="1" applyProtection="1">
      <alignment horizontal="center" vertical="center"/>
      <protection locked="0"/>
    </xf>
    <xf numFmtId="0" fontId="3" fillId="2" borderId="4" xfId="0" applyFont="1" applyFill="1" applyBorder="1" applyAlignment="1" applyProtection="1">
      <alignment horizontal="center" vertical="center"/>
      <protection locked="0"/>
    </xf>
    <xf numFmtId="0" fontId="3" fillId="2" borderId="5" xfId="0" applyFont="1" applyFill="1" applyBorder="1" applyAlignment="1" applyProtection="1">
      <alignment horizontal="center" vertical="center"/>
      <protection locked="0"/>
    </xf>
    <xf numFmtId="0" fontId="3" fillId="2" borderId="7" xfId="0" applyFont="1" applyFill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10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AF77C-9A54-4C55-8F7C-36197E803B1E}">
  <sheetPr>
    <pageSetUpPr fitToPage="1"/>
  </sheetPr>
  <dimension ref="A1:N82"/>
  <sheetViews>
    <sheetView tabSelected="1" workbookViewId="0">
      <selection activeCell="T15" sqref="T15"/>
    </sheetView>
  </sheetViews>
  <sheetFormatPr defaultRowHeight="14.4" x14ac:dyDescent="0.3"/>
  <cols>
    <col min="3" max="4" width="10.44140625" bestFit="1" customWidth="1"/>
    <col min="11" max="12" width="10.44140625" bestFit="1" customWidth="1"/>
    <col min="14" max="14" width="10.44140625" bestFit="1" customWidth="1"/>
  </cols>
  <sheetData>
    <row r="1" spans="1:14" x14ac:dyDescent="0.3">
      <c r="A1" s="40" t="e" vm="1">
        <v>#VALUE!</v>
      </c>
      <c r="B1" s="41"/>
      <c r="C1" s="41"/>
      <c r="D1" s="41"/>
      <c r="E1" s="42"/>
      <c r="F1" s="50" t="s">
        <v>32</v>
      </c>
      <c r="G1" s="50"/>
      <c r="H1" s="50"/>
      <c r="I1" s="51"/>
      <c r="J1" s="49" t="s">
        <v>0</v>
      </c>
      <c r="K1" s="51"/>
      <c r="L1" s="55" t="s">
        <v>34</v>
      </c>
      <c r="M1" s="59"/>
      <c r="N1" s="56"/>
    </row>
    <row r="2" spans="1:14" ht="15" thickBot="1" x14ac:dyDescent="0.35">
      <c r="A2" s="43"/>
      <c r="B2" s="44"/>
      <c r="C2" s="44"/>
      <c r="D2" s="44"/>
      <c r="E2" s="45"/>
      <c r="F2" s="53"/>
      <c r="G2" s="53"/>
      <c r="H2" s="53"/>
      <c r="I2" s="54"/>
      <c r="J2" s="52"/>
      <c r="K2" s="54"/>
      <c r="L2" s="57"/>
      <c r="M2" s="60"/>
      <c r="N2" s="58"/>
    </row>
    <row r="3" spans="1:14" x14ac:dyDescent="0.3">
      <c r="A3" s="43"/>
      <c r="B3" s="44"/>
      <c r="C3" s="44"/>
      <c r="D3" s="44"/>
      <c r="E3" s="45"/>
      <c r="F3" s="49" t="s">
        <v>36</v>
      </c>
      <c r="G3" s="50"/>
      <c r="H3" s="50"/>
      <c r="I3" s="51"/>
      <c r="J3" s="55" t="s">
        <v>39</v>
      </c>
      <c r="K3" s="56"/>
      <c r="L3" s="61">
        <v>46002</v>
      </c>
      <c r="M3" s="59"/>
      <c r="N3" s="56"/>
    </row>
    <row r="4" spans="1:14" ht="15" thickBot="1" x14ac:dyDescent="0.35">
      <c r="A4" s="43"/>
      <c r="B4" s="44"/>
      <c r="C4" s="44"/>
      <c r="D4" s="44"/>
      <c r="E4" s="45"/>
      <c r="F4" s="52"/>
      <c r="G4" s="53"/>
      <c r="H4" s="53"/>
      <c r="I4" s="54"/>
      <c r="J4" s="57"/>
      <c r="K4" s="58"/>
      <c r="L4" s="57"/>
      <c r="M4" s="60"/>
      <c r="N4" s="58"/>
    </row>
    <row r="5" spans="1:14" x14ac:dyDescent="0.3">
      <c r="A5" s="43"/>
      <c r="B5" s="44"/>
      <c r="C5" s="44"/>
      <c r="D5" s="44"/>
      <c r="E5" s="45"/>
      <c r="F5" s="49" t="s">
        <v>37</v>
      </c>
      <c r="G5" s="50"/>
      <c r="H5" s="50"/>
      <c r="I5" s="51"/>
      <c r="J5" s="55" t="s">
        <v>38</v>
      </c>
      <c r="K5" s="56"/>
      <c r="L5" s="55" t="s">
        <v>35</v>
      </c>
      <c r="M5" s="59"/>
      <c r="N5" s="56"/>
    </row>
    <row r="6" spans="1:14" ht="15" thickBot="1" x14ac:dyDescent="0.35">
      <c r="A6" s="46"/>
      <c r="B6" s="47"/>
      <c r="C6" s="47"/>
      <c r="D6" s="47"/>
      <c r="E6" s="48"/>
      <c r="F6" s="52"/>
      <c r="G6" s="53"/>
      <c r="H6" s="53"/>
      <c r="I6" s="54"/>
      <c r="J6" s="57"/>
      <c r="K6" s="58"/>
      <c r="L6" s="57"/>
      <c r="M6" s="60"/>
      <c r="N6" s="58"/>
    </row>
    <row r="7" spans="1:14" ht="15" thickBot="1" x14ac:dyDescent="0.35">
      <c r="H7" s="26"/>
      <c r="I7" s="81" t="s">
        <v>41</v>
      </c>
      <c r="J7" s="82"/>
      <c r="K7" s="82"/>
      <c r="L7" s="82"/>
      <c r="M7" s="82"/>
      <c r="N7" s="83"/>
    </row>
    <row r="8" spans="1:14" ht="15" thickBot="1" x14ac:dyDescent="0.35">
      <c r="A8" s="62" t="s">
        <v>1</v>
      </c>
      <c r="B8" s="63"/>
      <c r="C8" s="64"/>
      <c r="D8" s="25"/>
      <c r="E8" s="25"/>
      <c r="F8" s="25"/>
      <c r="G8" s="25"/>
      <c r="H8" s="27"/>
      <c r="I8" s="84"/>
      <c r="J8" s="85"/>
      <c r="K8" s="85"/>
      <c r="L8" s="85"/>
      <c r="M8" s="85"/>
      <c r="N8" s="86"/>
    </row>
    <row r="9" spans="1:14" ht="15" thickBot="1" x14ac:dyDescent="0.35">
      <c r="A9" s="67" t="s">
        <v>40</v>
      </c>
      <c r="B9" s="68"/>
      <c r="C9" s="68"/>
      <c r="D9" s="69"/>
      <c r="E9" s="69"/>
      <c r="F9" s="69"/>
      <c r="G9" s="69"/>
      <c r="H9" s="70"/>
      <c r="I9" s="62" t="s">
        <v>21</v>
      </c>
      <c r="J9" s="64"/>
      <c r="K9" s="62" t="s">
        <v>18</v>
      </c>
      <c r="L9" s="64"/>
      <c r="M9" s="62" t="s">
        <v>19</v>
      </c>
      <c r="N9" s="64"/>
    </row>
    <row r="10" spans="1:14" x14ac:dyDescent="0.3">
      <c r="A10" s="71"/>
      <c r="B10" s="72"/>
      <c r="C10" s="72"/>
      <c r="D10" s="72"/>
      <c r="E10" s="72"/>
      <c r="F10" s="72"/>
      <c r="G10" s="72"/>
      <c r="H10" s="73"/>
      <c r="I10" s="103">
        <f>SUM(M39+N52+N79)</f>
        <v>0</v>
      </c>
      <c r="J10" s="104"/>
      <c r="K10" s="99">
        <f>SUM(M10-I10)</f>
        <v>2991.6</v>
      </c>
      <c r="L10" s="100"/>
      <c r="M10" s="87">
        <v>2991.6</v>
      </c>
      <c r="N10" s="88"/>
    </row>
    <row r="11" spans="1:14" ht="15" thickBot="1" x14ac:dyDescent="0.35">
      <c r="A11" s="71"/>
      <c r="B11" s="72"/>
      <c r="C11" s="72"/>
      <c r="D11" s="72"/>
      <c r="E11" s="72"/>
      <c r="F11" s="72"/>
      <c r="G11" s="72"/>
      <c r="H11" s="73"/>
      <c r="I11" s="105"/>
      <c r="J11" s="106"/>
      <c r="K11" s="101"/>
      <c r="L11" s="102"/>
      <c r="M11" s="89"/>
      <c r="N11" s="90"/>
    </row>
    <row r="12" spans="1:14" x14ac:dyDescent="0.3">
      <c r="A12" s="71"/>
      <c r="B12" s="72"/>
      <c r="C12" s="72"/>
      <c r="D12" s="72"/>
      <c r="E12" s="72"/>
      <c r="F12" s="72"/>
      <c r="G12" s="72"/>
      <c r="H12" s="73"/>
      <c r="I12" s="107"/>
      <c r="J12" s="108"/>
      <c r="K12" s="111">
        <f>I10/M10</f>
        <v>0</v>
      </c>
      <c r="L12" s="112"/>
      <c r="M12" s="115"/>
      <c r="N12" s="116"/>
    </row>
    <row r="13" spans="1:14" ht="15" thickBot="1" x14ac:dyDescent="0.35">
      <c r="A13" s="71"/>
      <c r="B13" s="72"/>
      <c r="C13" s="72"/>
      <c r="D13" s="72"/>
      <c r="E13" s="72"/>
      <c r="F13" s="72"/>
      <c r="G13" s="72"/>
      <c r="H13" s="73"/>
      <c r="I13" s="109"/>
      <c r="J13" s="110"/>
      <c r="K13" s="113"/>
      <c r="L13" s="114"/>
      <c r="M13" s="117"/>
      <c r="N13" s="118"/>
    </row>
    <row r="14" spans="1:14" x14ac:dyDescent="0.3">
      <c r="A14" s="71"/>
      <c r="B14" s="72"/>
      <c r="C14" s="72"/>
      <c r="D14" s="72"/>
      <c r="E14" s="72"/>
      <c r="F14" s="72"/>
      <c r="G14" s="72"/>
      <c r="H14" s="73"/>
      <c r="I14" s="107"/>
      <c r="J14" s="108"/>
      <c r="K14" s="91"/>
      <c r="L14" s="92"/>
      <c r="M14" s="95"/>
      <c r="N14" s="96"/>
    </row>
    <row r="15" spans="1:14" ht="15" thickBot="1" x14ac:dyDescent="0.35">
      <c r="A15" s="74"/>
      <c r="B15" s="75"/>
      <c r="C15" s="75"/>
      <c r="D15" s="75"/>
      <c r="E15" s="75"/>
      <c r="F15" s="75"/>
      <c r="G15" s="75"/>
      <c r="H15" s="76"/>
      <c r="I15" s="109"/>
      <c r="J15" s="110"/>
      <c r="K15" s="93"/>
      <c r="L15" s="94"/>
      <c r="M15" s="97"/>
      <c r="N15" s="98"/>
    </row>
    <row r="16" spans="1:14" ht="15" thickBot="1" x14ac:dyDescent="0.35"/>
    <row r="17" spans="1:14" ht="15" thickBot="1" x14ac:dyDescent="0.35">
      <c r="A17" s="37" t="s">
        <v>2</v>
      </c>
      <c r="B17" s="38"/>
      <c r="C17" s="39"/>
      <c r="L17" s="14"/>
      <c r="M17" s="37" t="s">
        <v>16</v>
      </c>
      <c r="N17" s="39"/>
    </row>
    <row r="18" spans="1:14" ht="15" thickBot="1" x14ac:dyDescent="0.35">
      <c r="A18" s="65" t="s">
        <v>3</v>
      </c>
      <c r="B18" s="66"/>
      <c r="C18" s="16"/>
      <c r="D18" s="16"/>
      <c r="E18" s="16"/>
      <c r="F18" s="16"/>
      <c r="G18" s="16"/>
      <c r="H18" s="16"/>
      <c r="I18" s="16"/>
      <c r="J18" s="16"/>
      <c r="K18" s="16"/>
      <c r="L18" s="17"/>
      <c r="M18" s="79" cm="1">
        <f t="array" ref="M18">SUM(C18:L18*42)</f>
        <v>0</v>
      </c>
      <c r="N18" s="80"/>
    </row>
    <row r="19" spans="1:14" ht="15" thickBot="1" x14ac:dyDescent="0.35">
      <c r="A19" s="31" t="s">
        <v>4</v>
      </c>
      <c r="B19" s="32"/>
      <c r="C19" s="16"/>
      <c r="D19" s="16"/>
      <c r="E19" s="16"/>
      <c r="F19" s="16"/>
      <c r="G19" s="16"/>
      <c r="H19" s="16"/>
      <c r="I19" s="16"/>
      <c r="J19" s="16"/>
      <c r="K19" s="16"/>
      <c r="L19" s="17"/>
      <c r="M19" s="79" cm="1">
        <f t="array" ref="M19">SUM(C19:L19*42)</f>
        <v>0</v>
      </c>
      <c r="N19" s="80"/>
    </row>
    <row r="20" spans="1:14" ht="15" thickBot="1" x14ac:dyDescent="0.35">
      <c r="A20" s="31" t="s">
        <v>5</v>
      </c>
      <c r="B20" s="32"/>
      <c r="C20" s="16"/>
      <c r="D20" s="16"/>
      <c r="E20" s="16"/>
      <c r="F20" s="16"/>
      <c r="G20" s="16"/>
      <c r="H20" s="16"/>
      <c r="I20" s="16"/>
      <c r="J20" s="16"/>
      <c r="K20" s="16"/>
      <c r="L20" s="17"/>
      <c r="M20" s="79" cm="1">
        <f t="array" ref="M20">SUM(C20:L20*42)</f>
        <v>0</v>
      </c>
      <c r="N20" s="80"/>
    </row>
    <row r="21" spans="1:14" ht="15" thickBot="1" x14ac:dyDescent="0.35">
      <c r="A21" s="31" t="s">
        <v>29</v>
      </c>
      <c r="B21" s="32"/>
      <c r="C21" s="16"/>
      <c r="D21" s="16"/>
      <c r="E21" s="16"/>
      <c r="F21" s="16"/>
      <c r="G21" s="16"/>
      <c r="H21" s="16"/>
      <c r="I21" s="16"/>
      <c r="J21" s="16"/>
      <c r="K21" s="16"/>
      <c r="L21" s="17"/>
      <c r="M21" s="79" cm="1">
        <f t="array" ref="M21">SUM(C21:L21*42)</f>
        <v>0</v>
      </c>
      <c r="N21" s="80"/>
    </row>
    <row r="22" spans="1:14" ht="15" thickBot="1" x14ac:dyDescent="0.35">
      <c r="A22" s="31" t="s">
        <v>6</v>
      </c>
      <c r="B22" s="32"/>
      <c r="C22" s="16"/>
      <c r="D22" s="16"/>
      <c r="E22" s="16"/>
      <c r="F22" s="16"/>
      <c r="G22" s="16"/>
      <c r="H22" s="16"/>
      <c r="I22" s="16"/>
      <c r="J22" s="16"/>
      <c r="K22" s="16"/>
      <c r="L22" s="17"/>
      <c r="M22" s="79" cm="1">
        <f t="array" ref="M22">SUM(C22:L22*42)</f>
        <v>0</v>
      </c>
      <c r="N22" s="80"/>
    </row>
    <row r="23" spans="1:14" ht="15" thickBot="1" x14ac:dyDescent="0.35">
      <c r="A23" s="31" t="s">
        <v>7</v>
      </c>
      <c r="B23" s="32"/>
      <c r="C23" s="16"/>
      <c r="D23" s="16"/>
      <c r="E23" s="16"/>
      <c r="F23" s="16"/>
      <c r="G23" s="16"/>
      <c r="H23" s="16"/>
      <c r="I23" s="16"/>
      <c r="J23" s="16"/>
      <c r="K23" s="16"/>
      <c r="L23" s="17"/>
      <c r="M23" s="79" cm="1">
        <f t="array" ref="M23">SUM(C23:L23*42)</f>
        <v>0</v>
      </c>
      <c r="N23" s="80"/>
    </row>
    <row r="24" spans="1:14" ht="15" thickBot="1" x14ac:dyDescent="0.35">
      <c r="A24" s="31" t="s">
        <v>31</v>
      </c>
      <c r="B24" s="32"/>
      <c r="C24" s="16"/>
      <c r="D24" s="16"/>
      <c r="E24" s="16"/>
      <c r="F24" s="16"/>
      <c r="G24" s="16"/>
      <c r="H24" s="16"/>
      <c r="I24" s="16"/>
      <c r="J24" s="16"/>
      <c r="K24" s="16"/>
      <c r="L24" s="17"/>
      <c r="M24" s="79" cm="1">
        <f t="array" ref="M24">SUM(C24:L24*42)</f>
        <v>0</v>
      </c>
      <c r="N24" s="80"/>
    </row>
    <row r="25" spans="1:14" ht="15" thickBot="1" x14ac:dyDescent="0.35">
      <c r="A25" s="31" t="s">
        <v>8</v>
      </c>
      <c r="B25" s="32"/>
      <c r="C25" s="16"/>
      <c r="D25" s="16"/>
      <c r="E25" s="16"/>
      <c r="F25" s="16"/>
      <c r="G25" s="16"/>
      <c r="H25" s="16"/>
      <c r="I25" s="16"/>
      <c r="J25" s="16"/>
      <c r="K25" s="16"/>
      <c r="L25" s="17"/>
      <c r="M25" s="79" cm="1">
        <f t="array" ref="M25">SUM(C25:L25*42)</f>
        <v>0</v>
      </c>
      <c r="N25" s="80"/>
    </row>
    <row r="26" spans="1:14" ht="15" thickBot="1" x14ac:dyDescent="0.35">
      <c r="A26" s="31" t="s">
        <v>9</v>
      </c>
      <c r="B26" s="32"/>
      <c r="C26" s="16"/>
      <c r="D26" s="16"/>
      <c r="E26" s="16"/>
      <c r="F26" s="16"/>
      <c r="G26" s="16"/>
      <c r="H26" s="16"/>
      <c r="I26" s="16"/>
      <c r="J26" s="16"/>
      <c r="K26" s="16"/>
      <c r="L26" s="17"/>
      <c r="M26" s="79" cm="1">
        <f t="array" ref="M26">SUM(C26:L26*42)</f>
        <v>0</v>
      </c>
      <c r="N26" s="80"/>
    </row>
    <row r="27" spans="1:14" ht="15" thickBot="1" x14ac:dyDescent="0.35">
      <c r="A27" s="31" t="s">
        <v>10</v>
      </c>
      <c r="B27" s="32"/>
      <c r="C27" s="16"/>
      <c r="D27" s="16"/>
      <c r="E27" s="16"/>
      <c r="F27" s="16"/>
      <c r="G27" s="16"/>
      <c r="H27" s="16"/>
      <c r="I27" s="16"/>
      <c r="J27" s="16"/>
      <c r="K27" s="16"/>
      <c r="L27" s="17"/>
      <c r="M27" s="79" cm="1">
        <f t="array" ref="M27">SUM(C27:L27*42)</f>
        <v>0</v>
      </c>
      <c r="N27" s="80"/>
    </row>
    <row r="28" spans="1:14" ht="15" thickBot="1" x14ac:dyDescent="0.35">
      <c r="A28" s="31" t="s">
        <v>11</v>
      </c>
      <c r="B28" s="32"/>
      <c r="C28" s="16"/>
      <c r="D28" s="16"/>
      <c r="E28" s="16"/>
      <c r="F28" s="16"/>
      <c r="G28" s="16"/>
      <c r="H28" s="16"/>
      <c r="I28" s="16"/>
      <c r="J28" s="16"/>
      <c r="K28" s="16"/>
      <c r="L28" s="17"/>
      <c r="M28" s="79" cm="1">
        <f t="array" ref="M28">SUM(C28:L28*42)</f>
        <v>0</v>
      </c>
      <c r="N28" s="80"/>
    </row>
    <row r="29" spans="1:14" ht="15" thickBot="1" x14ac:dyDescent="0.35">
      <c r="A29" s="31" t="s">
        <v>12</v>
      </c>
      <c r="B29" s="32"/>
      <c r="C29" s="16"/>
      <c r="D29" s="16"/>
      <c r="E29" s="16"/>
      <c r="F29" s="16"/>
      <c r="G29" s="16"/>
      <c r="H29" s="16"/>
      <c r="I29" s="16"/>
      <c r="J29" s="16"/>
      <c r="K29" s="16"/>
      <c r="L29" s="17"/>
      <c r="M29" s="79" cm="1">
        <f t="array" ref="M29">SUM(C29:L29*42)</f>
        <v>0</v>
      </c>
      <c r="N29" s="80"/>
    </row>
    <row r="30" spans="1:14" ht="15" thickBot="1" x14ac:dyDescent="0.35">
      <c r="A30" s="31" t="s">
        <v>13</v>
      </c>
      <c r="B30" s="32"/>
      <c r="C30" s="16"/>
      <c r="D30" s="16"/>
      <c r="E30" s="16"/>
      <c r="F30" s="16"/>
      <c r="G30" s="16"/>
      <c r="H30" s="16"/>
      <c r="I30" s="16"/>
      <c r="J30" s="16"/>
      <c r="K30" s="16"/>
      <c r="L30" s="17"/>
      <c r="M30" s="79" cm="1">
        <f t="array" ref="M30">SUM(C30:L30*42)</f>
        <v>0</v>
      </c>
      <c r="N30" s="80"/>
    </row>
    <row r="31" spans="1:14" ht="15" thickBot="1" x14ac:dyDescent="0.35">
      <c r="A31" s="31" t="s">
        <v>14</v>
      </c>
      <c r="B31" s="32"/>
      <c r="C31" s="16"/>
      <c r="D31" s="16"/>
      <c r="E31" s="16"/>
      <c r="F31" s="16"/>
      <c r="G31" s="16"/>
      <c r="H31" s="16"/>
      <c r="I31" s="16"/>
      <c r="J31" s="16"/>
      <c r="K31" s="16"/>
      <c r="L31" s="17"/>
      <c r="M31" s="79" cm="1">
        <f t="array" ref="M31">SUM(C31:L31*42)</f>
        <v>0</v>
      </c>
      <c r="N31" s="80"/>
    </row>
    <row r="32" spans="1:14" ht="15" thickBot="1" x14ac:dyDescent="0.35">
      <c r="A32" s="31" t="s">
        <v>23</v>
      </c>
      <c r="B32" s="32"/>
      <c r="C32" s="16"/>
      <c r="D32" s="16"/>
      <c r="E32" s="16"/>
      <c r="F32" s="16"/>
      <c r="G32" s="16"/>
      <c r="H32" s="16"/>
      <c r="I32" s="16"/>
      <c r="J32" s="16"/>
      <c r="K32" s="16"/>
      <c r="L32" s="17"/>
      <c r="M32" s="79" cm="1">
        <f t="array" ref="M32">SUM(C32:L32*42)</f>
        <v>0</v>
      </c>
      <c r="N32" s="80"/>
    </row>
    <row r="33" spans="1:14" ht="15" thickBot="1" x14ac:dyDescent="0.35">
      <c r="A33" s="31" t="s">
        <v>27</v>
      </c>
      <c r="B33" s="32"/>
      <c r="C33" s="16"/>
      <c r="D33" s="16"/>
      <c r="E33" s="16"/>
      <c r="F33" s="16"/>
      <c r="G33" s="16"/>
      <c r="H33" s="16"/>
      <c r="I33" s="16"/>
      <c r="J33" s="16"/>
      <c r="K33" s="16"/>
      <c r="L33" s="17"/>
      <c r="M33" s="79" cm="1">
        <f t="array" ref="M33">SUM(C33:L33*42)</f>
        <v>0</v>
      </c>
      <c r="N33" s="80"/>
    </row>
    <row r="34" spans="1:14" ht="15" thickBot="1" x14ac:dyDescent="0.35">
      <c r="A34" s="31" t="s">
        <v>24</v>
      </c>
      <c r="B34" s="32"/>
      <c r="C34" s="16"/>
      <c r="D34" s="16"/>
      <c r="E34" s="16"/>
      <c r="F34" s="16"/>
      <c r="G34" s="16"/>
      <c r="H34" s="16"/>
      <c r="I34" s="16"/>
      <c r="J34" s="16"/>
      <c r="K34" s="16"/>
      <c r="L34" s="17"/>
      <c r="M34" s="79" cm="1">
        <f t="array" ref="M34">SUM(C34:L34*42)</f>
        <v>0</v>
      </c>
      <c r="N34" s="80"/>
    </row>
    <row r="35" spans="1:14" ht="15" thickBot="1" x14ac:dyDescent="0.35">
      <c r="A35" s="31" t="s">
        <v>28</v>
      </c>
      <c r="B35" s="32"/>
      <c r="C35" s="16"/>
      <c r="D35" s="16"/>
      <c r="E35" s="16"/>
      <c r="F35" s="16"/>
      <c r="G35" s="16"/>
      <c r="H35" s="16"/>
      <c r="I35" s="16"/>
      <c r="J35" s="16"/>
      <c r="K35" s="16"/>
      <c r="L35" s="17"/>
      <c r="M35" s="79" cm="1">
        <f t="array" ref="M35">SUM(C35:L35*42)</f>
        <v>0</v>
      </c>
      <c r="N35" s="80"/>
    </row>
    <row r="36" spans="1:14" ht="15" thickBot="1" x14ac:dyDescent="0.35">
      <c r="A36" s="31" t="s">
        <v>30</v>
      </c>
      <c r="B36" s="32"/>
      <c r="C36" s="16"/>
      <c r="D36" s="16"/>
      <c r="E36" s="16"/>
      <c r="F36" s="16"/>
      <c r="G36" s="16"/>
      <c r="H36" s="16"/>
      <c r="I36" s="16"/>
      <c r="J36" s="16"/>
      <c r="K36" s="16"/>
      <c r="L36" s="17"/>
      <c r="M36" s="79" cm="1">
        <f t="array" ref="M36">SUM(C36:L36*42)</f>
        <v>0</v>
      </c>
      <c r="N36" s="80"/>
    </row>
    <row r="37" spans="1:14" ht="15" thickBot="1" x14ac:dyDescent="0.35">
      <c r="A37" s="31" t="s">
        <v>33</v>
      </c>
      <c r="B37" s="32"/>
      <c r="C37" s="16"/>
      <c r="D37" s="16"/>
      <c r="E37" s="16"/>
      <c r="F37" s="16"/>
      <c r="G37" s="16"/>
      <c r="H37" s="16"/>
      <c r="I37" s="16"/>
      <c r="J37" s="16"/>
      <c r="K37" s="16"/>
      <c r="L37" s="17"/>
      <c r="M37" s="79" cm="1">
        <f t="array" ref="M37">SUM(C37:L37*42)</f>
        <v>0</v>
      </c>
      <c r="N37" s="80"/>
    </row>
    <row r="38" spans="1:14" ht="15" thickBot="1" x14ac:dyDescent="0.35">
      <c r="A38" s="31"/>
      <c r="B38" s="32"/>
      <c r="C38" s="16"/>
      <c r="D38" s="16"/>
      <c r="E38" s="16"/>
      <c r="F38" s="16"/>
      <c r="G38" s="16"/>
      <c r="H38" s="16"/>
      <c r="I38" s="16"/>
      <c r="J38" s="16"/>
      <c r="K38" s="16"/>
      <c r="L38" s="17"/>
      <c r="M38" s="79" cm="1">
        <f t="array" ref="M38">SUM(C38:L38*42)</f>
        <v>0</v>
      </c>
      <c r="N38" s="80"/>
    </row>
    <row r="39" spans="1:14" ht="15" thickBot="1" x14ac:dyDescent="0.35">
      <c r="L39" s="15"/>
      <c r="M39" s="77">
        <f>SUM(M18:N38)</f>
        <v>0</v>
      </c>
      <c r="N39" s="78"/>
    </row>
    <row r="40" spans="1:14" ht="15" thickBot="1" x14ac:dyDescent="0.35"/>
    <row r="41" spans="1:14" ht="15" thickBot="1" x14ac:dyDescent="0.35">
      <c r="A41" s="37" t="s">
        <v>22</v>
      </c>
      <c r="B41" s="38"/>
      <c r="C41" s="39"/>
      <c r="K41" s="10" t="s">
        <v>20</v>
      </c>
      <c r="L41" s="11" t="s">
        <v>25</v>
      </c>
      <c r="M41" s="12" t="s">
        <v>26</v>
      </c>
      <c r="N41" s="13" t="s">
        <v>16</v>
      </c>
    </row>
    <row r="42" spans="1:14" ht="15" thickBot="1" x14ac:dyDescent="0.35">
      <c r="A42" s="31"/>
      <c r="B42" s="32"/>
      <c r="C42" s="18">
        <v>0</v>
      </c>
      <c r="D42" s="18"/>
      <c r="E42" s="18"/>
      <c r="F42" s="18"/>
      <c r="G42" s="18"/>
      <c r="H42" s="18"/>
      <c r="I42" s="18"/>
      <c r="J42" s="18"/>
      <c r="K42" s="24">
        <f>SUM(C42:J42)</f>
        <v>0</v>
      </c>
      <c r="L42" s="20">
        <v>0.2</v>
      </c>
      <c r="M42" s="2">
        <f>SUM(K42*L42)</f>
        <v>0</v>
      </c>
      <c r="N42" s="4">
        <f>SUM(K42+M42)</f>
        <v>0</v>
      </c>
    </row>
    <row r="43" spans="1:14" ht="15" thickBot="1" x14ac:dyDescent="0.35">
      <c r="A43" s="31"/>
      <c r="B43" s="32"/>
      <c r="C43" s="18"/>
      <c r="D43" s="18"/>
      <c r="E43" s="18"/>
      <c r="F43" s="18"/>
      <c r="G43" s="18"/>
      <c r="H43" s="18"/>
      <c r="I43" s="18"/>
      <c r="J43" s="18"/>
      <c r="K43" s="24">
        <f t="shared" ref="K43:K51" si="0">SUM(C43:J43)</f>
        <v>0</v>
      </c>
      <c r="L43" s="20">
        <v>0.2</v>
      </c>
      <c r="M43" s="2">
        <f t="shared" ref="M43:M51" si="1">SUM(K43*L43)</f>
        <v>0</v>
      </c>
      <c r="N43" s="4">
        <f t="shared" ref="N43:N51" si="2">SUM(K43+M43)</f>
        <v>0</v>
      </c>
    </row>
    <row r="44" spans="1:14" ht="15" thickBot="1" x14ac:dyDescent="0.35">
      <c r="A44" s="31"/>
      <c r="B44" s="32"/>
      <c r="C44" s="18"/>
      <c r="D44" s="18"/>
      <c r="E44" s="18"/>
      <c r="F44" s="18"/>
      <c r="G44" s="18"/>
      <c r="H44" s="18"/>
      <c r="I44" s="18"/>
      <c r="J44" s="18"/>
      <c r="K44" s="24">
        <f t="shared" si="0"/>
        <v>0</v>
      </c>
      <c r="L44" s="20">
        <v>0.3</v>
      </c>
      <c r="M44" s="2">
        <f t="shared" si="1"/>
        <v>0</v>
      </c>
      <c r="N44" s="4">
        <f t="shared" si="2"/>
        <v>0</v>
      </c>
    </row>
    <row r="45" spans="1:14" ht="15" thickBot="1" x14ac:dyDescent="0.35">
      <c r="A45" s="31"/>
      <c r="B45" s="32"/>
      <c r="C45" s="18"/>
      <c r="D45" s="18"/>
      <c r="E45" s="18"/>
      <c r="F45" s="18"/>
      <c r="G45" s="18"/>
      <c r="H45" s="18"/>
      <c r="I45" s="18"/>
      <c r="J45" s="18"/>
      <c r="K45" s="24">
        <f t="shared" si="0"/>
        <v>0</v>
      </c>
      <c r="L45" s="20">
        <v>0.3</v>
      </c>
      <c r="M45" s="2">
        <f t="shared" si="1"/>
        <v>0</v>
      </c>
      <c r="N45" s="4">
        <f t="shared" si="2"/>
        <v>0</v>
      </c>
    </row>
    <row r="46" spans="1:14" ht="15" thickBot="1" x14ac:dyDescent="0.35">
      <c r="A46" s="31"/>
      <c r="B46" s="32"/>
      <c r="C46" s="18"/>
      <c r="D46" s="18"/>
      <c r="E46" s="18"/>
      <c r="F46" s="18"/>
      <c r="G46" s="18"/>
      <c r="H46" s="18"/>
      <c r="I46" s="18"/>
      <c r="J46" s="18"/>
      <c r="K46" s="24">
        <f t="shared" si="0"/>
        <v>0</v>
      </c>
      <c r="L46" s="20">
        <v>0.3</v>
      </c>
      <c r="M46" s="2">
        <f t="shared" si="1"/>
        <v>0</v>
      </c>
      <c r="N46" s="4">
        <f t="shared" si="2"/>
        <v>0</v>
      </c>
    </row>
    <row r="47" spans="1:14" ht="15" thickBot="1" x14ac:dyDescent="0.35">
      <c r="A47" s="31"/>
      <c r="B47" s="32"/>
      <c r="C47" s="18"/>
      <c r="D47" s="18"/>
      <c r="E47" s="18"/>
      <c r="F47" s="18"/>
      <c r="G47" s="18"/>
      <c r="H47" s="18"/>
      <c r="I47" s="18"/>
      <c r="J47" s="18"/>
      <c r="K47" s="24">
        <f t="shared" si="0"/>
        <v>0</v>
      </c>
      <c r="L47" s="20">
        <v>0.3</v>
      </c>
      <c r="M47" s="2">
        <f t="shared" si="1"/>
        <v>0</v>
      </c>
      <c r="N47" s="4">
        <f t="shared" si="2"/>
        <v>0</v>
      </c>
    </row>
    <row r="48" spans="1:14" ht="15" thickBot="1" x14ac:dyDescent="0.35">
      <c r="A48" s="31"/>
      <c r="B48" s="32"/>
      <c r="C48" s="18"/>
      <c r="D48" s="18"/>
      <c r="E48" s="18"/>
      <c r="F48" s="18"/>
      <c r="G48" s="18"/>
      <c r="H48" s="18"/>
      <c r="I48" s="18"/>
      <c r="J48" s="18"/>
      <c r="K48" s="24">
        <f t="shared" si="0"/>
        <v>0</v>
      </c>
      <c r="L48" s="20">
        <v>0.3</v>
      </c>
      <c r="M48" s="2">
        <f t="shared" si="1"/>
        <v>0</v>
      </c>
      <c r="N48" s="4">
        <f t="shared" si="2"/>
        <v>0</v>
      </c>
    </row>
    <row r="49" spans="1:14" ht="15" thickBot="1" x14ac:dyDescent="0.35">
      <c r="A49" s="31"/>
      <c r="B49" s="32"/>
      <c r="C49" s="18"/>
      <c r="D49" s="18"/>
      <c r="E49" s="18"/>
      <c r="F49" s="18"/>
      <c r="G49" s="18"/>
      <c r="H49" s="18"/>
      <c r="I49" s="18"/>
      <c r="J49" s="18"/>
      <c r="K49" s="24">
        <f t="shared" si="0"/>
        <v>0</v>
      </c>
      <c r="L49" s="20">
        <v>0.3</v>
      </c>
      <c r="M49" s="2">
        <f t="shared" si="1"/>
        <v>0</v>
      </c>
      <c r="N49" s="4">
        <f t="shared" si="2"/>
        <v>0</v>
      </c>
    </row>
    <row r="50" spans="1:14" ht="15" thickBot="1" x14ac:dyDescent="0.35">
      <c r="A50" s="31"/>
      <c r="B50" s="32"/>
      <c r="C50" s="18"/>
      <c r="D50" s="18"/>
      <c r="E50" s="18"/>
      <c r="F50" s="18"/>
      <c r="G50" s="18"/>
      <c r="H50" s="18"/>
      <c r="I50" s="18"/>
      <c r="J50" s="18"/>
      <c r="K50" s="24">
        <f t="shared" si="0"/>
        <v>0</v>
      </c>
      <c r="L50" s="20">
        <v>0.3</v>
      </c>
      <c r="M50" s="2">
        <f t="shared" si="1"/>
        <v>0</v>
      </c>
      <c r="N50" s="4">
        <f t="shared" si="2"/>
        <v>0</v>
      </c>
    </row>
    <row r="51" spans="1:14" ht="15" thickBot="1" x14ac:dyDescent="0.35">
      <c r="A51" s="31"/>
      <c r="B51" s="32"/>
      <c r="C51" s="18"/>
      <c r="D51" s="18"/>
      <c r="E51" s="18"/>
      <c r="F51" s="18"/>
      <c r="G51" s="18"/>
      <c r="H51" s="18"/>
      <c r="I51" s="18"/>
      <c r="J51" s="18"/>
      <c r="K51" s="24">
        <f t="shared" si="0"/>
        <v>0</v>
      </c>
      <c r="L51" s="20">
        <v>0.3</v>
      </c>
      <c r="M51" s="2">
        <f t="shared" si="1"/>
        <v>0</v>
      </c>
      <c r="N51" s="4">
        <f t="shared" si="2"/>
        <v>0</v>
      </c>
    </row>
    <row r="52" spans="1:14" ht="15" thickBot="1" x14ac:dyDescent="0.35">
      <c r="K52" s="5">
        <f>SUM(K42:K51)</f>
        <v>0</v>
      </c>
      <c r="L52" s="22"/>
      <c r="M52" s="3">
        <f>SUM(M42:M51)</f>
        <v>0</v>
      </c>
      <c r="N52" s="5">
        <f>SUM(N42:N51)</f>
        <v>0</v>
      </c>
    </row>
    <row r="53" spans="1:14" ht="15" thickBot="1" x14ac:dyDescent="0.35"/>
    <row r="54" spans="1:14" ht="15" thickBot="1" x14ac:dyDescent="0.35">
      <c r="A54" s="37" t="s">
        <v>15</v>
      </c>
      <c r="B54" s="38"/>
      <c r="C54" s="39"/>
      <c r="K54" s="7" t="s">
        <v>20</v>
      </c>
      <c r="L54" s="7" t="s">
        <v>25</v>
      </c>
      <c r="M54" s="7" t="s">
        <v>26</v>
      </c>
      <c r="N54" s="8" t="s">
        <v>16</v>
      </c>
    </row>
    <row r="55" spans="1:14" ht="15" thickBot="1" x14ac:dyDescent="0.35">
      <c r="A55" s="28"/>
      <c r="B55" s="29"/>
      <c r="C55" s="29"/>
      <c r="D55" s="29"/>
      <c r="E55" s="29"/>
      <c r="F55" s="29"/>
      <c r="G55" s="29"/>
      <c r="H55" s="29"/>
      <c r="I55" s="29"/>
      <c r="J55" s="30"/>
      <c r="K55" s="19"/>
      <c r="L55" s="21">
        <v>0.3</v>
      </c>
      <c r="M55" s="1">
        <f>SUM(K55*L55)</f>
        <v>0</v>
      </c>
      <c r="N55" s="4">
        <f>SUM(K55+M55)</f>
        <v>0</v>
      </c>
    </row>
    <row r="56" spans="1:14" ht="15" thickBot="1" x14ac:dyDescent="0.35">
      <c r="A56" s="28"/>
      <c r="B56" s="29"/>
      <c r="C56" s="29"/>
      <c r="D56" s="29"/>
      <c r="E56" s="29"/>
      <c r="F56" s="29"/>
      <c r="G56" s="29"/>
      <c r="H56" s="29"/>
      <c r="I56" s="29"/>
      <c r="J56" s="30"/>
      <c r="K56" s="19"/>
      <c r="L56" s="21">
        <v>0.3</v>
      </c>
      <c r="M56" s="1">
        <f t="shared" ref="M56:M78" si="3">SUM(K56*L56)</f>
        <v>0</v>
      </c>
      <c r="N56" s="4">
        <f>SUM(K56+M56)</f>
        <v>0</v>
      </c>
    </row>
    <row r="57" spans="1:14" ht="15" thickBot="1" x14ac:dyDescent="0.35">
      <c r="A57" s="28"/>
      <c r="B57" s="29"/>
      <c r="C57" s="29"/>
      <c r="D57" s="29"/>
      <c r="E57" s="29"/>
      <c r="F57" s="29"/>
      <c r="G57" s="29"/>
      <c r="H57" s="29"/>
      <c r="I57" s="29"/>
      <c r="J57" s="30"/>
      <c r="K57" s="19"/>
      <c r="L57" s="21">
        <v>0.3</v>
      </c>
      <c r="M57" s="1">
        <f t="shared" si="3"/>
        <v>0</v>
      </c>
      <c r="N57" s="4">
        <f t="shared" ref="N57:N78" si="4">SUM(K57+M57)</f>
        <v>0</v>
      </c>
    </row>
    <row r="58" spans="1:14" ht="15" thickBot="1" x14ac:dyDescent="0.35">
      <c r="A58" s="28"/>
      <c r="B58" s="29"/>
      <c r="C58" s="29"/>
      <c r="D58" s="29"/>
      <c r="E58" s="29"/>
      <c r="F58" s="29"/>
      <c r="G58" s="29"/>
      <c r="H58" s="29"/>
      <c r="I58" s="29"/>
      <c r="J58" s="30"/>
      <c r="K58" s="19"/>
      <c r="L58" s="21">
        <v>0.3</v>
      </c>
      <c r="M58" s="1">
        <f t="shared" si="3"/>
        <v>0</v>
      </c>
      <c r="N58" s="4">
        <f t="shared" si="4"/>
        <v>0</v>
      </c>
    </row>
    <row r="59" spans="1:14" ht="15" thickBot="1" x14ac:dyDescent="0.35">
      <c r="A59" s="28"/>
      <c r="B59" s="29"/>
      <c r="C59" s="29"/>
      <c r="D59" s="29"/>
      <c r="E59" s="29"/>
      <c r="F59" s="29"/>
      <c r="G59" s="29"/>
      <c r="H59" s="29"/>
      <c r="I59" s="29"/>
      <c r="J59" s="30"/>
      <c r="K59" s="19"/>
      <c r="L59" s="21">
        <v>0.3</v>
      </c>
      <c r="M59" s="1">
        <f>SUM(K59*L59)</f>
        <v>0</v>
      </c>
      <c r="N59" s="4">
        <f t="shared" si="4"/>
        <v>0</v>
      </c>
    </row>
    <row r="60" spans="1:14" ht="15" thickBot="1" x14ac:dyDescent="0.35">
      <c r="A60" s="28"/>
      <c r="B60" s="29"/>
      <c r="C60" s="29"/>
      <c r="D60" s="29"/>
      <c r="E60" s="29"/>
      <c r="F60" s="29"/>
      <c r="G60" s="29"/>
      <c r="H60" s="29"/>
      <c r="I60" s="29"/>
      <c r="J60" s="30"/>
      <c r="K60" s="19"/>
      <c r="L60" s="21">
        <v>0.3</v>
      </c>
      <c r="M60" s="1">
        <f t="shared" si="3"/>
        <v>0</v>
      </c>
      <c r="N60" s="4">
        <f t="shared" si="4"/>
        <v>0</v>
      </c>
    </row>
    <row r="61" spans="1:14" ht="15" thickBot="1" x14ac:dyDescent="0.35">
      <c r="A61" s="28"/>
      <c r="B61" s="29"/>
      <c r="C61" s="29"/>
      <c r="D61" s="29"/>
      <c r="E61" s="29"/>
      <c r="F61" s="29"/>
      <c r="G61" s="29"/>
      <c r="H61" s="29"/>
      <c r="I61" s="29"/>
      <c r="J61" s="30"/>
      <c r="K61" s="19"/>
      <c r="L61" s="21">
        <v>0.3</v>
      </c>
      <c r="M61" s="1">
        <f t="shared" si="3"/>
        <v>0</v>
      </c>
      <c r="N61" s="4">
        <f t="shared" si="4"/>
        <v>0</v>
      </c>
    </row>
    <row r="62" spans="1:14" ht="15" thickBot="1" x14ac:dyDescent="0.35">
      <c r="A62" s="28"/>
      <c r="B62" s="29"/>
      <c r="C62" s="29"/>
      <c r="D62" s="29"/>
      <c r="E62" s="29"/>
      <c r="F62" s="29"/>
      <c r="G62" s="29"/>
      <c r="H62" s="29"/>
      <c r="I62" s="29"/>
      <c r="J62" s="30"/>
      <c r="K62" s="19"/>
      <c r="L62" s="21">
        <v>0.3</v>
      </c>
      <c r="M62" s="1">
        <f t="shared" si="3"/>
        <v>0</v>
      </c>
      <c r="N62" s="4">
        <f t="shared" si="4"/>
        <v>0</v>
      </c>
    </row>
    <row r="63" spans="1:14" ht="15" thickBot="1" x14ac:dyDescent="0.35">
      <c r="A63" s="28"/>
      <c r="B63" s="29"/>
      <c r="C63" s="29"/>
      <c r="D63" s="29"/>
      <c r="E63" s="29"/>
      <c r="F63" s="29"/>
      <c r="G63" s="29"/>
      <c r="H63" s="29"/>
      <c r="I63" s="29"/>
      <c r="J63" s="30"/>
      <c r="K63" s="19"/>
      <c r="L63" s="21">
        <v>0.3</v>
      </c>
      <c r="M63" s="1">
        <f t="shared" si="3"/>
        <v>0</v>
      </c>
      <c r="N63" s="4">
        <f t="shared" si="4"/>
        <v>0</v>
      </c>
    </row>
    <row r="64" spans="1:14" ht="15" thickBot="1" x14ac:dyDescent="0.35">
      <c r="A64" s="28"/>
      <c r="B64" s="29"/>
      <c r="C64" s="29"/>
      <c r="D64" s="29"/>
      <c r="E64" s="29"/>
      <c r="F64" s="29"/>
      <c r="G64" s="29"/>
      <c r="H64" s="29"/>
      <c r="I64" s="29"/>
      <c r="J64" s="30"/>
      <c r="K64" s="19"/>
      <c r="L64" s="21">
        <v>0.3</v>
      </c>
      <c r="M64" s="1">
        <f t="shared" si="3"/>
        <v>0</v>
      </c>
      <c r="N64" s="4">
        <f t="shared" si="4"/>
        <v>0</v>
      </c>
    </row>
    <row r="65" spans="1:14" ht="15" thickBot="1" x14ac:dyDescent="0.35">
      <c r="A65" s="28"/>
      <c r="B65" s="29"/>
      <c r="C65" s="29"/>
      <c r="D65" s="29"/>
      <c r="E65" s="29"/>
      <c r="F65" s="29"/>
      <c r="G65" s="29"/>
      <c r="H65" s="29"/>
      <c r="I65" s="29"/>
      <c r="J65" s="30"/>
      <c r="K65" s="19"/>
      <c r="L65" s="21">
        <v>0.3</v>
      </c>
      <c r="M65" s="1">
        <f t="shared" si="3"/>
        <v>0</v>
      </c>
      <c r="N65" s="4">
        <f t="shared" si="4"/>
        <v>0</v>
      </c>
    </row>
    <row r="66" spans="1:14" ht="15" thickBot="1" x14ac:dyDescent="0.35">
      <c r="A66" s="28"/>
      <c r="B66" s="29"/>
      <c r="C66" s="29"/>
      <c r="D66" s="29"/>
      <c r="E66" s="29"/>
      <c r="F66" s="29"/>
      <c r="G66" s="29"/>
      <c r="H66" s="29"/>
      <c r="I66" s="29"/>
      <c r="J66" s="30"/>
      <c r="K66" s="19"/>
      <c r="L66" s="21">
        <v>0.3</v>
      </c>
      <c r="M66" s="1">
        <f t="shared" si="3"/>
        <v>0</v>
      </c>
      <c r="N66" s="4">
        <f t="shared" si="4"/>
        <v>0</v>
      </c>
    </row>
    <row r="67" spans="1:14" ht="15" thickBot="1" x14ac:dyDescent="0.35">
      <c r="A67" s="28"/>
      <c r="B67" s="29"/>
      <c r="C67" s="29"/>
      <c r="D67" s="29"/>
      <c r="E67" s="29"/>
      <c r="F67" s="29"/>
      <c r="G67" s="29"/>
      <c r="H67" s="29"/>
      <c r="I67" s="29"/>
      <c r="J67" s="30"/>
      <c r="K67" s="19"/>
      <c r="L67" s="21">
        <v>0.3</v>
      </c>
      <c r="M67" s="1">
        <f t="shared" si="3"/>
        <v>0</v>
      </c>
      <c r="N67" s="4">
        <f t="shared" si="4"/>
        <v>0</v>
      </c>
    </row>
    <row r="68" spans="1:14" ht="15" thickBot="1" x14ac:dyDescent="0.35">
      <c r="A68" s="28"/>
      <c r="B68" s="29"/>
      <c r="C68" s="29"/>
      <c r="D68" s="29"/>
      <c r="E68" s="29"/>
      <c r="F68" s="29"/>
      <c r="G68" s="29"/>
      <c r="H68" s="29"/>
      <c r="I68" s="29"/>
      <c r="J68" s="30"/>
      <c r="K68" s="19"/>
      <c r="L68" s="21">
        <v>0.3</v>
      </c>
      <c r="M68" s="1">
        <f t="shared" si="3"/>
        <v>0</v>
      </c>
      <c r="N68" s="4">
        <f t="shared" si="4"/>
        <v>0</v>
      </c>
    </row>
    <row r="69" spans="1:14" ht="15" thickBot="1" x14ac:dyDescent="0.35">
      <c r="A69" s="28"/>
      <c r="B69" s="29"/>
      <c r="C69" s="29"/>
      <c r="D69" s="29"/>
      <c r="E69" s="29"/>
      <c r="F69" s="29"/>
      <c r="G69" s="29"/>
      <c r="H69" s="29"/>
      <c r="I69" s="29"/>
      <c r="J69" s="30"/>
      <c r="K69" s="19"/>
      <c r="L69" s="21">
        <v>0.3</v>
      </c>
      <c r="M69" s="1">
        <f t="shared" si="3"/>
        <v>0</v>
      </c>
      <c r="N69" s="4">
        <f t="shared" si="4"/>
        <v>0</v>
      </c>
    </row>
    <row r="70" spans="1:14" ht="15" thickBot="1" x14ac:dyDescent="0.35">
      <c r="A70" s="28"/>
      <c r="B70" s="29"/>
      <c r="C70" s="29"/>
      <c r="D70" s="29"/>
      <c r="E70" s="29"/>
      <c r="F70" s="29"/>
      <c r="G70" s="29"/>
      <c r="H70" s="29"/>
      <c r="I70" s="29"/>
      <c r="J70" s="30"/>
      <c r="K70" s="19"/>
      <c r="L70" s="21">
        <v>0.3</v>
      </c>
      <c r="M70" s="1">
        <f t="shared" si="3"/>
        <v>0</v>
      </c>
      <c r="N70" s="4">
        <f t="shared" si="4"/>
        <v>0</v>
      </c>
    </row>
    <row r="71" spans="1:14" ht="15" thickBot="1" x14ac:dyDescent="0.35">
      <c r="A71" s="28"/>
      <c r="B71" s="29"/>
      <c r="C71" s="29"/>
      <c r="D71" s="29"/>
      <c r="E71" s="29"/>
      <c r="F71" s="29"/>
      <c r="G71" s="29"/>
      <c r="H71" s="29"/>
      <c r="I71" s="29"/>
      <c r="J71" s="30"/>
      <c r="K71" s="19"/>
      <c r="L71" s="21">
        <v>0.3</v>
      </c>
      <c r="M71" s="1">
        <f t="shared" si="3"/>
        <v>0</v>
      </c>
      <c r="N71" s="4">
        <f t="shared" si="4"/>
        <v>0</v>
      </c>
    </row>
    <row r="72" spans="1:14" ht="15" thickBot="1" x14ac:dyDescent="0.35">
      <c r="A72" s="28"/>
      <c r="B72" s="29"/>
      <c r="C72" s="29"/>
      <c r="D72" s="29"/>
      <c r="E72" s="29"/>
      <c r="F72" s="29"/>
      <c r="G72" s="29"/>
      <c r="H72" s="29"/>
      <c r="I72" s="29"/>
      <c r="J72" s="30"/>
      <c r="K72" s="19"/>
      <c r="L72" s="21">
        <v>0.3</v>
      </c>
      <c r="M72" s="1">
        <f t="shared" si="3"/>
        <v>0</v>
      </c>
      <c r="N72" s="4">
        <f t="shared" si="4"/>
        <v>0</v>
      </c>
    </row>
    <row r="73" spans="1:14" ht="15" thickBot="1" x14ac:dyDescent="0.35">
      <c r="A73" s="28"/>
      <c r="B73" s="29"/>
      <c r="C73" s="29"/>
      <c r="D73" s="29"/>
      <c r="E73" s="29"/>
      <c r="F73" s="29"/>
      <c r="G73" s="29"/>
      <c r="H73" s="29"/>
      <c r="I73" s="29"/>
      <c r="J73" s="30"/>
      <c r="K73" s="19"/>
      <c r="L73" s="21">
        <v>0.3</v>
      </c>
      <c r="M73" s="1">
        <f t="shared" si="3"/>
        <v>0</v>
      </c>
      <c r="N73" s="4">
        <f t="shared" si="4"/>
        <v>0</v>
      </c>
    </row>
    <row r="74" spans="1:14" ht="15" thickBot="1" x14ac:dyDescent="0.35">
      <c r="A74" s="28"/>
      <c r="B74" s="29"/>
      <c r="C74" s="29"/>
      <c r="D74" s="29"/>
      <c r="E74" s="29"/>
      <c r="F74" s="29"/>
      <c r="G74" s="29"/>
      <c r="H74" s="29"/>
      <c r="I74" s="29"/>
      <c r="J74" s="30"/>
      <c r="K74" s="19"/>
      <c r="L74" s="21">
        <v>0.3</v>
      </c>
      <c r="M74" s="1">
        <f t="shared" si="3"/>
        <v>0</v>
      </c>
      <c r="N74" s="4">
        <f t="shared" si="4"/>
        <v>0</v>
      </c>
    </row>
    <row r="75" spans="1:14" ht="15" thickBot="1" x14ac:dyDescent="0.35">
      <c r="A75" s="28"/>
      <c r="B75" s="29"/>
      <c r="C75" s="29"/>
      <c r="D75" s="29"/>
      <c r="E75" s="29"/>
      <c r="F75" s="29"/>
      <c r="G75" s="29"/>
      <c r="H75" s="29"/>
      <c r="I75" s="29"/>
      <c r="J75" s="30"/>
      <c r="K75" s="19"/>
      <c r="L75" s="21">
        <v>0.3</v>
      </c>
      <c r="M75" s="1">
        <f t="shared" si="3"/>
        <v>0</v>
      </c>
      <c r="N75" s="4">
        <f t="shared" si="4"/>
        <v>0</v>
      </c>
    </row>
    <row r="76" spans="1:14" ht="15" thickBot="1" x14ac:dyDescent="0.35">
      <c r="A76" s="28"/>
      <c r="B76" s="29"/>
      <c r="C76" s="29"/>
      <c r="D76" s="29"/>
      <c r="E76" s="29"/>
      <c r="F76" s="29"/>
      <c r="G76" s="29"/>
      <c r="H76" s="29"/>
      <c r="I76" s="29"/>
      <c r="J76" s="30"/>
      <c r="K76" s="19"/>
      <c r="L76" s="21">
        <v>0.3</v>
      </c>
      <c r="M76" s="1">
        <f t="shared" si="3"/>
        <v>0</v>
      </c>
      <c r="N76" s="4">
        <f t="shared" si="4"/>
        <v>0</v>
      </c>
    </row>
    <row r="77" spans="1:14" ht="15" thickBot="1" x14ac:dyDescent="0.35">
      <c r="A77" s="28"/>
      <c r="B77" s="29"/>
      <c r="C77" s="29"/>
      <c r="D77" s="29"/>
      <c r="E77" s="29"/>
      <c r="F77" s="29"/>
      <c r="G77" s="29"/>
      <c r="H77" s="29"/>
      <c r="I77" s="29"/>
      <c r="J77" s="30"/>
      <c r="K77" s="19"/>
      <c r="L77" s="21">
        <v>0.3</v>
      </c>
      <c r="M77" s="1">
        <f t="shared" si="3"/>
        <v>0</v>
      </c>
      <c r="N77" s="4">
        <f t="shared" si="4"/>
        <v>0</v>
      </c>
    </row>
    <row r="78" spans="1:14" ht="15" thickBot="1" x14ac:dyDescent="0.35">
      <c r="A78" s="28"/>
      <c r="B78" s="29"/>
      <c r="C78" s="29"/>
      <c r="D78" s="29"/>
      <c r="E78" s="29"/>
      <c r="F78" s="29"/>
      <c r="G78" s="29"/>
      <c r="H78" s="29"/>
      <c r="I78" s="29"/>
      <c r="J78" s="30"/>
      <c r="K78" s="19"/>
      <c r="L78" s="21">
        <v>0.3</v>
      </c>
      <c r="M78" s="1">
        <f t="shared" si="3"/>
        <v>0</v>
      </c>
      <c r="N78" s="4">
        <f t="shared" si="4"/>
        <v>0</v>
      </c>
    </row>
    <row r="79" spans="1:14" ht="15" thickBot="1" x14ac:dyDescent="0.35">
      <c r="K79" s="5">
        <f>SUM(K55:K78)</f>
        <v>0</v>
      </c>
      <c r="L79" s="23"/>
      <c r="M79" s="6">
        <f>SUM(M55:M78)</f>
        <v>0</v>
      </c>
      <c r="N79" s="9">
        <f>SUM(N55:N78)</f>
        <v>0</v>
      </c>
    </row>
    <row r="80" spans="1:14" ht="15" thickBot="1" x14ac:dyDescent="0.35"/>
    <row r="81" spans="12:14" ht="15" thickBot="1" x14ac:dyDescent="0.35">
      <c r="L81" s="35" t="s">
        <v>17</v>
      </c>
    </row>
    <row r="82" spans="12:14" ht="15" thickBot="1" x14ac:dyDescent="0.35">
      <c r="L82" s="36"/>
      <c r="M82" s="33">
        <f>SUM(M39+K52+K79)</f>
        <v>0</v>
      </c>
      <c r="N82" s="34"/>
    </row>
  </sheetData>
  <sheetProtection algorithmName="SHA-512" hashValue="sE3CO/Ey1iAcjlslxj8fN9kaMZAONuoRsegHgE0Ks3NJozPR297fa62VvJagpFrvYfSohHVzg/XL9YQWLHaboA==" saltValue="8mYzVUD+o5Q2h2pXaa0WLg==" spinCount="100000" sheet="1" objects="1" scenarios="1"/>
  <mergeCells count="108">
    <mergeCell ref="A32:B32"/>
    <mergeCell ref="I7:N8"/>
    <mergeCell ref="K9:L9"/>
    <mergeCell ref="M9:N9"/>
    <mergeCell ref="M10:N11"/>
    <mergeCell ref="K14:L15"/>
    <mergeCell ref="M14:N15"/>
    <mergeCell ref="K10:L11"/>
    <mergeCell ref="I10:J11"/>
    <mergeCell ref="I12:J13"/>
    <mergeCell ref="A21:B21"/>
    <mergeCell ref="K12:L13"/>
    <mergeCell ref="M24:N24"/>
    <mergeCell ref="M25:N25"/>
    <mergeCell ref="M18:N18"/>
    <mergeCell ref="M19:N19"/>
    <mergeCell ref="M20:N20"/>
    <mergeCell ref="M21:N21"/>
    <mergeCell ref="M22:N22"/>
    <mergeCell ref="M23:N23"/>
    <mergeCell ref="I14:J15"/>
    <mergeCell ref="M12:N13"/>
    <mergeCell ref="A49:B49"/>
    <mergeCell ref="A50:B50"/>
    <mergeCell ref="A43:B43"/>
    <mergeCell ref="A44:B44"/>
    <mergeCell ref="A45:B45"/>
    <mergeCell ref="A46:B46"/>
    <mergeCell ref="A47:B47"/>
    <mergeCell ref="A48:B48"/>
    <mergeCell ref="A34:B34"/>
    <mergeCell ref="A35:B35"/>
    <mergeCell ref="A36:B36"/>
    <mergeCell ref="A41:C41"/>
    <mergeCell ref="A37:B37"/>
    <mergeCell ref="A38:B38"/>
    <mergeCell ref="M39:N39"/>
    <mergeCell ref="A22:B22"/>
    <mergeCell ref="A23:B23"/>
    <mergeCell ref="A24:B24"/>
    <mergeCell ref="A25:B25"/>
    <mergeCell ref="A27:B27"/>
    <mergeCell ref="A28:B28"/>
    <mergeCell ref="A29:B29"/>
    <mergeCell ref="A30:B30"/>
    <mergeCell ref="A31:B31"/>
    <mergeCell ref="M31:N31"/>
    <mergeCell ref="M32:N32"/>
    <mergeCell ref="M33:N33"/>
    <mergeCell ref="M34:N34"/>
    <mergeCell ref="M35:N35"/>
    <mergeCell ref="A33:B33"/>
    <mergeCell ref="M30:N30"/>
    <mergeCell ref="M38:N38"/>
    <mergeCell ref="M36:N36"/>
    <mergeCell ref="M37:N37"/>
    <mergeCell ref="M26:N26"/>
    <mergeCell ref="M27:N27"/>
    <mergeCell ref="M28:N28"/>
    <mergeCell ref="M29:N29"/>
    <mergeCell ref="A70:J70"/>
    <mergeCell ref="A71:J71"/>
    <mergeCell ref="M82:N82"/>
    <mergeCell ref="L81:L82"/>
    <mergeCell ref="A54:C54"/>
    <mergeCell ref="A1:E6"/>
    <mergeCell ref="F5:I6"/>
    <mergeCell ref="F3:I4"/>
    <mergeCell ref="F1:I2"/>
    <mergeCell ref="M17:N17"/>
    <mergeCell ref="J1:K2"/>
    <mergeCell ref="J3:K4"/>
    <mergeCell ref="J5:K6"/>
    <mergeCell ref="L1:N2"/>
    <mergeCell ref="L3:N4"/>
    <mergeCell ref="L5:N6"/>
    <mergeCell ref="A26:B26"/>
    <mergeCell ref="A8:C8"/>
    <mergeCell ref="A17:C17"/>
    <mergeCell ref="A18:B18"/>
    <mergeCell ref="A19:B19"/>
    <mergeCell ref="A20:B20"/>
    <mergeCell ref="A9:H15"/>
    <mergeCell ref="I9:J9"/>
    <mergeCell ref="A77:J77"/>
    <mergeCell ref="A78:J78"/>
    <mergeCell ref="A42:B42"/>
    <mergeCell ref="A51:B51"/>
    <mergeCell ref="A55:J55"/>
    <mergeCell ref="A56:J56"/>
    <mergeCell ref="A57:J57"/>
    <mergeCell ref="A58:J58"/>
    <mergeCell ref="A59:J59"/>
    <mergeCell ref="A60:J60"/>
    <mergeCell ref="A61:J61"/>
    <mergeCell ref="A62:J62"/>
    <mergeCell ref="A63:J63"/>
    <mergeCell ref="A64:J64"/>
    <mergeCell ref="A65:J65"/>
    <mergeCell ref="A66:J66"/>
    <mergeCell ref="A72:J72"/>
    <mergeCell ref="A73:J73"/>
    <mergeCell ref="A74:J74"/>
    <mergeCell ref="A75:J75"/>
    <mergeCell ref="A76:J76"/>
    <mergeCell ref="A67:J67"/>
    <mergeCell ref="A68:J68"/>
    <mergeCell ref="A69:J69"/>
  </mergeCells>
  <pageMargins left="0.7" right="0.7" top="0.75" bottom="0.75" header="0.3" footer="0.3"/>
  <pageSetup paperSize="9" scale="5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Declan Bullough</dc:creator>
  <cp:lastModifiedBy>Declan Bullough</cp:lastModifiedBy>
  <cp:lastPrinted>2025-12-11T10:52:24Z</cp:lastPrinted>
  <dcterms:created xsi:type="dcterms:W3CDTF">2024-06-10T14:39:19Z</dcterms:created>
  <dcterms:modified xsi:type="dcterms:W3CDTF">2026-07-01T09:15:44Z</dcterms:modified>
</cp:coreProperties>
</file>